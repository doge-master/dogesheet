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30" windowWidth="15180" windowHeight="9345"/>
  </bookViews>
  <sheets>
    <sheet name="Sheet1" sheetId="1" r:id="rId1"/>
    <sheet name="Sheet3" sheetId="3" r:id="rId2"/>
    <sheet name="Sheet2" sheetId="2" r:id="rId3"/>
  </sheets>
  <calcPr calcId="144525"/>
</workbook>
</file>

<file path=xl/calcChain.xml><?xml version="1.0" encoding="utf-8"?>
<calcChain xmlns="http://schemas.openxmlformats.org/spreadsheetml/2006/main">
  <c r="J17" i="1" l="1"/>
  <c r="L21" i="1"/>
  <c r="M21" i="1"/>
  <c r="O21" i="1"/>
  <c r="L22" i="1"/>
  <c r="M22" i="1"/>
  <c r="N22" i="1" s="1"/>
  <c r="O22" i="1"/>
  <c r="L23" i="1"/>
  <c r="M23" i="1"/>
  <c r="N23" i="1" s="1"/>
  <c r="O23" i="1"/>
  <c r="L24" i="1"/>
  <c r="M24" i="1"/>
  <c r="N24" i="1" s="1"/>
  <c r="O24" i="1"/>
  <c r="L25" i="1"/>
  <c r="M25" i="1"/>
  <c r="N25" i="1" s="1"/>
  <c r="O25" i="1"/>
  <c r="L26" i="1"/>
  <c r="M26" i="1"/>
  <c r="N26" i="1" s="1"/>
  <c r="O26" i="1"/>
  <c r="L27" i="1"/>
  <c r="M27" i="1"/>
  <c r="N27" i="1" s="1"/>
  <c r="O27" i="1"/>
  <c r="L28" i="1"/>
  <c r="M28" i="1"/>
  <c r="N28" i="1"/>
  <c r="O28" i="1"/>
  <c r="L29" i="1"/>
  <c r="M29" i="1"/>
  <c r="N29" i="1"/>
  <c r="O29" i="1"/>
  <c r="L30" i="1"/>
  <c r="M30" i="1"/>
  <c r="N30" i="1"/>
  <c r="O30" i="1"/>
  <c r="J31" i="1"/>
  <c r="K31" i="1"/>
  <c r="J16" i="1" s="1"/>
  <c r="J18" i="1" l="1"/>
  <c r="K18" i="1"/>
</calcChain>
</file>

<file path=xl/sharedStrings.xml><?xml version="1.0" encoding="utf-8"?>
<sst xmlns="http://schemas.openxmlformats.org/spreadsheetml/2006/main" count="77" uniqueCount="46">
  <si>
    <t>CEX.IO</t>
  </si>
  <si>
    <t>Bter</t>
  </si>
  <si>
    <t>BTC38</t>
  </si>
  <si>
    <t>Cryptsy</t>
  </si>
  <si>
    <t>EXMO</t>
  </si>
  <si>
    <t>Exchange</t>
  </si>
  <si>
    <t>Price</t>
  </si>
  <si>
    <t>Volume</t>
  </si>
  <si>
    <t>Loading…</t>
  </si>
  <si>
    <t>DOGE</t>
  </si>
  <si>
    <t>BTC</t>
  </si>
  <si>
    <t>USD</t>
  </si>
  <si>
    <t>Total Earnings</t>
  </si>
  <si>
    <t>Exchanges</t>
  </si>
  <si>
    <t>Mining</t>
  </si>
  <si>
    <t>Gambling</t>
  </si>
  <si>
    <t>Loading...</t>
  </si>
  <si>
    <t>Addresses</t>
  </si>
  <si>
    <t>1)</t>
  </si>
  <si>
    <t>2)</t>
  </si>
  <si>
    <t>3)</t>
  </si>
  <si>
    <t>4)</t>
  </si>
  <si>
    <t>5)</t>
  </si>
  <si>
    <t>"Enter Address"</t>
  </si>
  <si>
    <t>#</t>
  </si>
  <si>
    <t>Amount</t>
  </si>
  <si>
    <t>Label</t>
  </si>
  <si>
    <t>Wallet 1</t>
  </si>
  <si>
    <t>Wallet 2</t>
  </si>
  <si>
    <t>Wallet 3</t>
  </si>
  <si>
    <t>Wallet 4</t>
  </si>
  <si>
    <t>Wallet 5</t>
  </si>
  <si>
    <t>Date</t>
  </si>
  <si>
    <t>Total Purchased</t>
  </si>
  <si>
    <t>$ gain</t>
  </si>
  <si>
    <t>price change</t>
  </si>
  <si>
    <t>Value</t>
  </si>
  <si>
    <t>Cost</t>
  </si>
  <si>
    <t>Gain/Loss</t>
  </si>
  <si>
    <t>Totals</t>
  </si>
  <si>
    <t>DOGE/BTC</t>
  </si>
  <si>
    <t xml:space="preserve">                SETTINGS</t>
  </si>
  <si>
    <t xml:space="preserve">                API KEYS</t>
  </si>
  <si>
    <t xml:space="preserve">                Donate</t>
  </si>
  <si>
    <t xml:space="preserve">   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</si>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</sst>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rgb="FF0061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9"/>
      </patternFill>
    </fill>
    <fill>
      <patternFill patternType="solid">
        <fgColor rgb="FFC6EFCE"/>
      </patternFill>
    </fill>
  </fills>
  <borders count="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0">
    <xf numFmtId="0" fontId="0" fillId="0" borderId="0"/>
    <xf numFmtId="0" fontId="8" fillId="0" borderId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2" applyNumberFormat="0" applyAlignment="0" applyProtection="0"/>
    <xf numFmtId="0" fontId="5" fillId="0" borderId="3" applyNumberFormat="0" applyFill="0" applyAlignment="0" applyProtection="0"/>
    <xf numFmtId="0" fontId="6" fillId="4" borderId="4" applyNumberFormat="0" applyAlignment="0" applyProtection="0"/>
    <xf numFmtId="0" fontId="1" fillId="5" borderId="5" applyNumberFormat="0" applyFont="0" applyAlignment="0" applyProtection="0"/>
    <xf numFmtId="0" fontId="7" fillId="6" borderId="0" applyNumberFormat="0" applyBorder="0" applyAlignment="0" applyProtection="0"/>
    <xf numFmtId="0" fontId="9" fillId="7" borderId="0" applyNumberFormat="0" applyBorder="0" applyAlignment="0" applyProtection="0"/>
  </cellStyleXfs>
  <cellXfs count="13">
    <xf numFmtId="0" fontId="0" fillId="0" borderId="0" xfId="0"/>
    <xf numFmtId="0" fontId="8" fillId="0" borderId="0" xfId="1"/>
    <xf numFmtId="0" fontId="6" fillId="4" borderId="4" xfId="6"/>
    <xf numFmtId="0" fontId="4" fillId="3" borderId="2" xfId="4"/>
    <xf numFmtId="0" fontId="2" fillId="0" borderId="1" xfId="2"/>
    <xf numFmtId="0" fontId="5" fillId="0" borderId="3" xfId="5"/>
    <xf numFmtId="0" fontId="3" fillId="2" borderId="0" xfId="3"/>
    <xf numFmtId="0" fontId="7" fillId="6" borderId="0" xfId="8"/>
    <xf numFmtId="0" fontId="0" fillId="5" borderId="5" xfId="7" applyFont="1"/>
    <xf numFmtId="14" fontId="4" fillId="3" borderId="2" xfId="4" applyNumberFormat="1"/>
    <xf numFmtId="0" fontId="7" fillId="6" borderId="2" xfId="8" applyBorder="1"/>
    <xf numFmtId="0" fontId="7" fillId="6" borderId="0" xfId="8" applyBorder="1"/>
    <xf numFmtId="0" fontId="9" fillId="7" borderId="0" xfId="9"/>
  </cellXfs>
  <cellStyles count="10">
    <cellStyle name="Accent6" xfId="8" builtinId="49"/>
    <cellStyle name="Check Cell" xfId="6" builtinId="23"/>
    <cellStyle name="Flashing" xfId="1"/>
    <cellStyle name="Good" xfId="9" builtinId="26"/>
    <cellStyle name="Heading 3" xfId="2" builtinId="18"/>
    <cellStyle name="Input" xfId="4" builtinId="20"/>
    <cellStyle name="Linked Cell" xfId="5" builtinId="24"/>
    <cellStyle name="Neutral" xfId="3" builtinId="28"/>
    <cellStyle name="Normal" xfId="0" builtinId="0"/>
    <cellStyle name="Note" xfId="7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21</xdr:row>
      <xdr:rowOff>85726</xdr:rowOff>
    </xdr:from>
    <xdr:to>
      <xdr:col>3</xdr:col>
      <xdr:colOff>485775</xdr:colOff>
      <xdr:row>26</xdr:row>
      <xdr:rowOff>47626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276726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228601</xdr:colOff>
      <xdr:row>0</xdr:row>
      <xdr:rowOff>0</xdr:rowOff>
    </xdr:from>
    <xdr:to>
      <xdr:col>3</xdr:col>
      <xdr:colOff>1219201</xdr:colOff>
      <xdr:row>5</xdr:row>
      <xdr:rowOff>66675</xdr:rowOff>
    </xdr:to>
    <xdr:pic>
      <xdr:nvPicPr>
        <xdr:cNvPr id="6" name="Picture 5" descr="http://altcoindb.com/images/dogecoin.jp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0"/>
          <a:ext cx="990600" cy="99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561973</xdr:colOff>
      <xdr:row>0</xdr:row>
      <xdr:rowOff>180973</xdr:rowOff>
    </xdr:from>
    <xdr:to>
      <xdr:col>12</xdr:col>
      <xdr:colOff>85724</xdr:colOff>
      <xdr:row>4</xdr:row>
      <xdr:rowOff>47625</xdr:rowOff>
    </xdr:to>
    <xdr:sp macro="" textlink="">
      <xdr:nvSpPr>
        <xdr:cNvPr id="4" name="TextBox 3"/>
        <xdr:cNvSpPr txBox="1"/>
      </xdr:nvSpPr>
      <xdr:spPr>
        <a:xfrm>
          <a:off x="990598" y="180973"/>
          <a:ext cx="6438901" cy="6286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3200" b="1" cap="none" spc="0">
              <a:ln w="18000">
                <a:solidFill>
                  <a:srgbClr val="FFFF00"/>
                </a:solidFill>
                <a:prstDash val="solid"/>
                <a:miter lim="800000"/>
              </a:ln>
              <a:solidFill>
                <a:srgbClr val="FFC000"/>
              </a:solidFill>
              <a:effectLst>
                <a:glow rad="228600">
                  <a:schemeClr val="accent6">
                    <a:satMod val="175000"/>
                    <a:alpha val="40000"/>
                  </a:schemeClr>
                </a:glow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 </a:t>
          </a:r>
          <a:r>
            <a:rPr lang="en-US" sz="3200" b="1" cap="none" spc="0" baseline="0">
              <a:ln w="18000">
                <a:solidFill>
                  <a:srgbClr val="FFFF00"/>
                </a:solidFill>
                <a:prstDash val="solid"/>
                <a:miter lim="800000"/>
              </a:ln>
              <a:solidFill>
                <a:srgbClr val="FFC000"/>
              </a:solidFill>
              <a:effectLst>
                <a:glow rad="228600">
                  <a:schemeClr val="accent6">
                    <a:satMod val="175000"/>
                    <a:alpha val="40000"/>
                  </a:schemeClr>
                </a:glow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  </a:t>
          </a:r>
          <a:r>
            <a:rPr lang="en-US" sz="3200" b="1" cap="none" spc="0">
              <a:ln w="18000">
                <a:solidFill>
                  <a:srgbClr val="FFFF00"/>
                </a:solidFill>
                <a:prstDash val="solid"/>
                <a:miter lim="800000"/>
              </a:ln>
              <a:solidFill>
                <a:srgbClr val="FFC000"/>
              </a:solidFill>
              <a:effectLst>
                <a:glow rad="228600">
                  <a:schemeClr val="accent6">
                    <a:satMod val="175000"/>
                    <a:alpha val="40000"/>
                  </a:schemeClr>
                </a:glow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ogecoin</a:t>
          </a:r>
          <a:r>
            <a:rPr lang="en-US" sz="3200" b="1" cap="none" spc="0" baseline="0">
              <a:ln w="18000">
                <a:solidFill>
                  <a:srgbClr val="FFFF00"/>
                </a:solidFill>
                <a:prstDash val="solid"/>
                <a:miter lim="800000"/>
              </a:ln>
              <a:solidFill>
                <a:srgbClr val="FFC000"/>
              </a:solidFill>
              <a:effectLst>
                <a:glow rad="228600">
                  <a:schemeClr val="accent6">
                    <a:satMod val="175000"/>
                    <a:alpha val="40000"/>
                  </a:schemeClr>
                </a:glow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 All - In - One Spreadsheet</a:t>
          </a:r>
          <a:endParaRPr lang="en-US" sz="3200" b="1" cap="none" spc="0">
            <a:ln w="18000">
              <a:solidFill>
                <a:srgbClr val="FFFF00"/>
              </a:solidFill>
              <a:prstDash val="solid"/>
              <a:miter lim="800000"/>
            </a:ln>
            <a:solidFill>
              <a:srgbClr val="FFC000"/>
            </a:solidFill>
            <a:effectLst>
              <a:glow rad="228600">
                <a:schemeClr val="accent6">
                  <a:satMod val="175000"/>
                  <a:alpha val="40000"/>
                </a:schemeClr>
              </a:glow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twoCellAnchor>
    <xdr:from>
      <xdr:col>3</xdr:col>
      <xdr:colOff>1438275</xdr:colOff>
      <xdr:row>3</xdr:row>
      <xdr:rowOff>152400</xdr:rowOff>
    </xdr:from>
    <xdr:to>
      <xdr:col>12</xdr:col>
      <xdr:colOff>590550</xdr:colOff>
      <xdr:row>6</xdr:row>
      <xdr:rowOff>85726</xdr:rowOff>
    </xdr:to>
    <xdr:sp macro="" textlink="">
      <xdr:nvSpPr>
        <xdr:cNvPr id="2" name="TextBox 1"/>
        <xdr:cNvSpPr txBox="1"/>
      </xdr:nvSpPr>
      <xdr:spPr>
        <a:xfrm>
          <a:off x="1866900" y="723900"/>
          <a:ext cx="6067425" cy="476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Please wait for data to</a:t>
          </a:r>
          <a:r>
            <a:rPr lang="en-US" sz="1100" baseline="0"/>
            <a:t> load, if it doesn't load make sure you have macros enabled. This spreadsheet will not work on Excel 2003 and earlier versions or online. Contact me at dogemaster@gmail.com </a:t>
          </a:r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D7:F12" totalsRowShown="0">
  <autoFilter ref="D7:F12"/>
  <tableColumns count="3">
    <tableColumn id="1" name="Exchange"/>
    <tableColumn id="2" name="Price"/>
    <tableColumn id="3" name="Volume"/>
  </tableColumns>
  <tableStyleInfo name="TableStyleDark7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I7:L10" totalsRowShown="0">
  <autoFilter ref="I7:L10"/>
  <tableColumns count="4">
    <tableColumn id="1" name="Total Earnings"/>
    <tableColumn id="2" name="DOGE" dataCellStyle="Flashing"/>
    <tableColumn id="3" name="BTC" dataCellStyle="Flashing"/>
    <tableColumn id="4" name="USD" dataCellStyle="Flashing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5:O31"/>
  <sheetViews>
    <sheetView tabSelected="1" workbookViewId="0">
      <selection activeCell="N11" sqref="N11"/>
    </sheetView>
  </sheetViews>
  <sheetFormatPr defaultRowHeight="15" x14ac:dyDescent="0.25"/>
  <cols>
    <col min="1" max="1" width="1.28515625" customWidth="1"/>
    <col min="2" max="2" width="1.7109375" customWidth="1"/>
    <col min="3" max="3" width="3.42578125" customWidth="1"/>
    <col min="4" max="4" width="22.42578125" customWidth="1"/>
    <col min="5" max="6" width="12" customWidth="1"/>
    <col min="7" max="7" width="5.42578125" customWidth="1"/>
    <col min="8" max="8" width="5.5703125" customWidth="1"/>
    <col min="9" max="9" width="15.5703125" customWidth="1"/>
    <col min="10" max="10" width="9.85546875" customWidth="1"/>
    <col min="11" max="11" width="9.5703125" customWidth="1"/>
    <col min="12" max="12" width="11.28515625" customWidth="1"/>
    <col min="14" max="14" width="13.28515625" customWidth="1"/>
  </cols>
  <sheetData>
    <row r="5" spans="3:13" ht="12.75" customHeight="1" x14ac:dyDescent="0.25">
      <c r="E5" s="12" t="s">
        <v>45</v>
      </c>
      <c r="F5" s="12" t="s">
        <v>44</v>
      </c>
      <c r="G5" s="12"/>
      <c r="H5" s="12"/>
      <c r="I5" s="12"/>
      <c r="J5" s="12"/>
      <c r="K5" s="12"/>
      <c r="L5" s="12"/>
      <c r="M5" s="12"/>
    </row>
    <row r="6" spans="3:13" x14ac:dyDescent="0.25">
      <c r="E6" s="12"/>
      <c r="F6" s="12"/>
      <c r="G6" s="12"/>
      <c r="H6" s="12"/>
      <c r="I6" s="12"/>
      <c r="J6" s="12"/>
      <c r="K6" s="12"/>
      <c r="L6" s="12"/>
      <c r="M6" s="12"/>
    </row>
    <row r="7" spans="3:13" x14ac:dyDescent="0.25">
      <c r="D7" t="s">
        <v>5</v>
      </c>
      <c r="E7" t="s">
        <v>6</v>
      </c>
      <c r="F7" t="s">
        <v>7</v>
      </c>
      <c r="I7" t="s">
        <v>12</v>
      </c>
      <c r="J7" t="s">
        <v>9</v>
      </c>
      <c r="K7" t="s">
        <v>10</v>
      </c>
      <c r="L7" t="s">
        <v>11</v>
      </c>
    </row>
    <row r="8" spans="3:13" ht="14.25" customHeight="1" x14ac:dyDescent="0.25">
      <c r="D8" t="s">
        <v>0</v>
      </c>
      <c r="E8" s="1" t="s">
        <v>8</v>
      </c>
      <c r="F8" s="1" t="s">
        <v>8</v>
      </c>
      <c r="I8" t="s">
        <v>13</v>
      </c>
      <c r="J8" s="1" t="s">
        <v>16</v>
      </c>
      <c r="K8" s="1" t="s">
        <v>16</v>
      </c>
      <c r="L8" s="1" t="s">
        <v>16</v>
      </c>
    </row>
    <row r="9" spans="3:13" ht="15.75" customHeight="1" x14ac:dyDescent="0.25">
      <c r="D9" t="s">
        <v>1</v>
      </c>
      <c r="E9" s="1" t="s">
        <v>8</v>
      </c>
      <c r="F9" s="1" t="s">
        <v>8</v>
      </c>
      <c r="I9" t="s">
        <v>14</v>
      </c>
      <c r="J9" s="1" t="s">
        <v>16</v>
      </c>
      <c r="K9" s="1" t="s">
        <v>16</v>
      </c>
      <c r="L9" s="1" t="s">
        <v>16</v>
      </c>
    </row>
    <row r="10" spans="3:13" x14ac:dyDescent="0.25">
      <c r="D10" t="s">
        <v>2</v>
      </c>
      <c r="E10" s="1" t="s">
        <v>8</v>
      </c>
      <c r="F10" s="1" t="s">
        <v>8</v>
      </c>
      <c r="I10" t="s">
        <v>15</v>
      </c>
      <c r="J10" s="1" t="s">
        <v>16</v>
      </c>
      <c r="K10" s="1" t="s">
        <v>16</v>
      </c>
      <c r="L10" s="1" t="s">
        <v>16</v>
      </c>
    </row>
    <row r="11" spans="3:13" ht="17.25" customHeight="1" x14ac:dyDescent="0.25">
      <c r="D11" t="s">
        <v>3</v>
      </c>
      <c r="E11" s="1" t="s">
        <v>8</v>
      </c>
      <c r="F11" s="1" t="s">
        <v>8</v>
      </c>
    </row>
    <row r="12" spans="3:13" ht="20.25" customHeight="1" x14ac:dyDescent="0.25">
      <c r="D12" t="s">
        <v>4</v>
      </c>
      <c r="E12" s="1" t="s">
        <v>8</v>
      </c>
      <c r="F12" s="1" t="s">
        <v>8</v>
      </c>
    </row>
    <row r="13" spans="3:13" ht="15.75" customHeight="1" x14ac:dyDescent="0.25"/>
    <row r="14" spans="3:13" x14ac:dyDescent="0.25">
      <c r="I14" s="3" t="s">
        <v>40</v>
      </c>
      <c r="J14" s="8" t="s">
        <v>8</v>
      </c>
    </row>
    <row r="15" spans="3:13" ht="15.75" thickBot="1" x14ac:dyDescent="0.3">
      <c r="I15" s="3" t="s">
        <v>39</v>
      </c>
      <c r="J15" s="3"/>
      <c r="K15" s="3"/>
    </row>
    <row r="16" spans="3:13" ht="16.5" thickTop="1" thickBot="1" x14ac:dyDescent="0.3">
      <c r="C16" s="2" t="s">
        <v>24</v>
      </c>
      <c r="D16" s="2" t="s">
        <v>17</v>
      </c>
      <c r="E16" s="2" t="s">
        <v>26</v>
      </c>
      <c r="F16" s="2" t="s">
        <v>25</v>
      </c>
      <c r="I16" s="3" t="s">
        <v>36</v>
      </c>
      <c r="J16" s="8" t="e">
        <f>K31*$J$14</f>
        <v>#VALUE!</v>
      </c>
    </row>
    <row r="17" spans="3:15" ht="16.5" thickTop="1" thickBot="1" x14ac:dyDescent="0.3">
      <c r="C17" s="4" t="s">
        <v>18</v>
      </c>
      <c r="D17" s="5" t="s">
        <v>23</v>
      </c>
      <c r="E17" s="5" t="s">
        <v>27</v>
      </c>
      <c r="F17" s="1" t="s">
        <v>16</v>
      </c>
      <c r="I17" s="3" t="s">
        <v>37</v>
      </c>
      <c r="J17" s="8">
        <f>L18</f>
        <v>0</v>
      </c>
    </row>
    <row r="18" spans="3:15" ht="15.75" thickBot="1" x14ac:dyDescent="0.3">
      <c r="C18" s="4" t="s">
        <v>19</v>
      </c>
      <c r="D18" s="5" t="s">
        <v>23</v>
      </c>
      <c r="E18" s="5" t="s">
        <v>28</v>
      </c>
      <c r="F18" s="1" t="s">
        <v>16</v>
      </c>
      <c r="I18" s="3" t="s">
        <v>38</v>
      </c>
      <c r="J18" s="8" t="e">
        <f>J16-J17</f>
        <v>#VALUE!</v>
      </c>
      <c r="K18" s="8" t="e">
        <f>(J16-J17)/J17</f>
        <v>#VALUE!</v>
      </c>
    </row>
    <row r="19" spans="3:15" ht="15.75" thickBot="1" x14ac:dyDescent="0.3">
      <c r="C19" s="4" t="s">
        <v>20</v>
      </c>
      <c r="D19" s="5" t="s">
        <v>23</v>
      </c>
      <c r="E19" s="5" t="s">
        <v>29</v>
      </c>
      <c r="F19" s="1" t="s">
        <v>16</v>
      </c>
    </row>
    <row r="20" spans="3:15" ht="15.75" thickBot="1" x14ac:dyDescent="0.3">
      <c r="C20" s="4" t="s">
        <v>21</v>
      </c>
      <c r="D20" s="5" t="s">
        <v>23</v>
      </c>
      <c r="E20" s="5" t="s">
        <v>30</v>
      </c>
      <c r="F20" s="1" t="s">
        <v>16</v>
      </c>
      <c r="I20" s="10" t="s">
        <v>32</v>
      </c>
      <c r="J20" s="10" t="s">
        <v>37</v>
      </c>
      <c r="K20" s="10" t="s">
        <v>25</v>
      </c>
      <c r="L20" s="10" t="s">
        <v>36</v>
      </c>
      <c r="M20" s="10" t="s">
        <v>40</v>
      </c>
      <c r="N20" s="10" t="s">
        <v>35</v>
      </c>
      <c r="O20" s="10" t="s">
        <v>34</v>
      </c>
    </row>
    <row r="21" spans="3:15" ht="15.75" thickBot="1" x14ac:dyDescent="0.3">
      <c r="C21" s="4" t="s">
        <v>22</v>
      </c>
      <c r="D21" s="5" t="s">
        <v>23</v>
      </c>
      <c r="E21" s="5" t="s">
        <v>31</v>
      </c>
      <c r="F21" s="1" t="s">
        <v>16</v>
      </c>
      <c r="I21" s="9">
        <v>42005</v>
      </c>
      <c r="J21" s="6">
        <v>0</v>
      </c>
      <c r="K21" s="6">
        <v>0</v>
      </c>
      <c r="L21" s="6" t="e">
        <f t="shared" ref="L21:L30" si="0">K21*$J$14</f>
        <v>#VALUE!</v>
      </c>
      <c r="M21" s="6">
        <f t="shared" ref="M21:M30" si="1">J21/(IF(K21&lt;&gt;0,K21,1))</f>
        <v>0</v>
      </c>
      <c r="N21" s="6">
        <v>0</v>
      </c>
      <c r="O21" s="6" t="e">
        <f t="shared" ref="O21:O30" si="2">(K21*$J$14)-J21</f>
        <v>#VALUE!</v>
      </c>
    </row>
    <row r="22" spans="3:15" x14ac:dyDescent="0.25">
      <c r="I22" s="9">
        <v>42005</v>
      </c>
      <c r="J22" s="6">
        <v>0</v>
      </c>
      <c r="K22" s="6">
        <v>0</v>
      </c>
      <c r="L22" s="6" t="e">
        <f t="shared" si="0"/>
        <v>#VALUE!</v>
      </c>
      <c r="M22" s="6">
        <f t="shared" si="1"/>
        <v>0</v>
      </c>
      <c r="N22" s="6">
        <f t="shared" ref="N22:N30" si="3">IF(J22&lt;&gt;0,(M22-M21)/IF(M21&lt;&gt;0,M21,1),0)</f>
        <v>0</v>
      </c>
      <c r="O22" s="6" t="e">
        <f t="shared" si="2"/>
        <v>#VALUE!</v>
      </c>
    </row>
    <row r="23" spans="3:15" x14ac:dyDescent="0.25">
      <c r="D23" s="11" t="s">
        <v>41</v>
      </c>
      <c r="I23" s="9">
        <v>42005</v>
      </c>
      <c r="J23" s="6">
        <v>0</v>
      </c>
      <c r="K23" s="6">
        <v>0</v>
      </c>
      <c r="L23" s="6" t="e">
        <f t="shared" si="0"/>
        <v>#VALUE!</v>
      </c>
      <c r="M23" s="6">
        <f t="shared" si="1"/>
        <v>0</v>
      </c>
      <c r="N23" s="6">
        <f t="shared" si="3"/>
        <v>0</v>
      </c>
      <c r="O23" s="6" t="e">
        <f t="shared" si="2"/>
        <v>#VALUE!</v>
      </c>
    </row>
    <row r="24" spans="3:15" x14ac:dyDescent="0.25">
      <c r="D24" s="11" t="s">
        <v>42</v>
      </c>
      <c r="I24" s="9">
        <v>42005</v>
      </c>
      <c r="J24" s="6">
        <v>0</v>
      </c>
      <c r="K24" s="6">
        <v>0</v>
      </c>
      <c r="L24" s="6" t="e">
        <f t="shared" si="0"/>
        <v>#VALUE!</v>
      </c>
      <c r="M24" s="6">
        <f t="shared" si="1"/>
        <v>0</v>
      </c>
      <c r="N24" s="6">
        <f t="shared" si="3"/>
        <v>0</v>
      </c>
      <c r="O24" s="6" t="e">
        <f t="shared" si="2"/>
        <v>#VALUE!</v>
      </c>
    </row>
    <row r="25" spans="3:15" x14ac:dyDescent="0.25">
      <c r="D25" s="7" t="s">
        <v>43</v>
      </c>
      <c r="I25" s="9">
        <v>42005</v>
      </c>
      <c r="J25" s="6">
        <v>0</v>
      </c>
      <c r="K25" s="6">
        <v>0</v>
      </c>
      <c r="L25" s="6" t="e">
        <f t="shared" si="0"/>
        <v>#VALUE!</v>
      </c>
      <c r="M25" s="6">
        <f t="shared" si="1"/>
        <v>0</v>
      </c>
      <c r="N25" s="6">
        <f t="shared" si="3"/>
        <v>0</v>
      </c>
      <c r="O25" s="6" t="e">
        <f t="shared" si="2"/>
        <v>#VALUE!</v>
      </c>
    </row>
    <row r="26" spans="3:15" x14ac:dyDescent="0.25">
      <c r="I26" s="9">
        <v>42005</v>
      </c>
      <c r="J26" s="6">
        <v>0</v>
      </c>
      <c r="K26" s="6">
        <v>0</v>
      </c>
      <c r="L26" s="6" t="e">
        <f t="shared" si="0"/>
        <v>#VALUE!</v>
      </c>
      <c r="M26" s="6">
        <f t="shared" si="1"/>
        <v>0</v>
      </c>
      <c r="N26" s="6">
        <f t="shared" si="3"/>
        <v>0</v>
      </c>
      <c r="O26" s="6" t="e">
        <f t="shared" si="2"/>
        <v>#VALUE!</v>
      </c>
    </row>
    <row r="27" spans="3:15" x14ac:dyDescent="0.25">
      <c r="I27" s="9">
        <v>42005</v>
      </c>
      <c r="J27" s="6">
        <v>0</v>
      </c>
      <c r="K27" s="6">
        <v>0</v>
      </c>
      <c r="L27" s="6" t="e">
        <f t="shared" si="0"/>
        <v>#VALUE!</v>
      </c>
      <c r="M27" s="6">
        <f t="shared" si="1"/>
        <v>0</v>
      </c>
      <c r="N27" s="6">
        <f t="shared" si="3"/>
        <v>0</v>
      </c>
      <c r="O27" s="6" t="e">
        <f t="shared" si="2"/>
        <v>#VALUE!</v>
      </c>
    </row>
    <row r="28" spans="3:15" x14ac:dyDescent="0.25">
      <c r="I28" s="9">
        <v>42005</v>
      </c>
      <c r="J28" s="6"/>
      <c r="K28" s="6"/>
      <c r="L28" s="6" t="e">
        <f t="shared" si="0"/>
        <v>#VALUE!</v>
      </c>
      <c r="M28" s="6">
        <f t="shared" si="1"/>
        <v>0</v>
      </c>
      <c r="N28" s="6">
        <f t="shared" si="3"/>
        <v>0</v>
      </c>
      <c r="O28" s="6" t="e">
        <f t="shared" si="2"/>
        <v>#VALUE!</v>
      </c>
    </row>
    <row r="29" spans="3:15" x14ac:dyDescent="0.25">
      <c r="I29" s="9">
        <v>42005</v>
      </c>
      <c r="J29" s="6"/>
      <c r="K29" s="6"/>
      <c r="L29" s="6" t="e">
        <f t="shared" si="0"/>
        <v>#VALUE!</v>
      </c>
      <c r="M29" s="6">
        <f t="shared" si="1"/>
        <v>0</v>
      </c>
      <c r="N29" s="6">
        <f t="shared" si="3"/>
        <v>0</v>
      </c>
      <c r="O29" s="6" t="e">
        <f t="shared" si="2"/>
        <v>#VALUE!</v>
      </c>
    </row>
    <row r="30" spans="3:15" x14ac:dyDescent="0.25">
      <c r="I30" s="9">
        <v>42005</v>
      </c>
      <c r="J30" s="6"/>
      <c r="K30" s="6"/>
      <c r="L30" s="6" t="e">
        <f t="shared" si="0"/>
        <v>#VALUE!</v>
      </c>
      <c r="M30" s="6">
        <f t="shared" si="1"/>
        <v>0</v>
      </c>
      <c r="N30" s="6">
        <f t="shared" si="3"/>
        <v>0</v>
      </c>
      <c r="O30" s="6" t="e">
        <f t="shared" si="2"/>
        <v>#VALUE!</v>
      </c>
    </row>
    <row r="31" spans="3:15" x14ac:dyDescent="0.25">
      <c r="I31" s="3" t="s">
        <v>33</v>
      </c>
      <c r="J31" s="6">
        <f>SUM(J21:J30)</f>
        <v>0</v>
      </c>
      <c r="K31" s="6">
        <f>SUM(K21:K30)</f>
        <v>0</v>
      </c>
      <c r="L31" s="6"/>
      <c r="M31" s="6"/>
      <c r="N31" s="6"/>
      <c r="O31" s="6"/>
    </row>
  </sheetData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2015-01-09T12:32:29Z</dcterms:created>
  <dcterms:modified xsi:type="dcterms:W3CDTF">2015-01-09T20:12:59Z</dcterms:modified>
</cp:coreProperties>
</file>